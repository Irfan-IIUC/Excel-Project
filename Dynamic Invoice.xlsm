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28800" windowHeight="1230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5" i="1" l="1"/>
  <c r="H32" i="1"/>
  <c r="D32" i="1"/>
  <c r="I18" i="1"/>
  <c r="I19" i="1"/>
  <c r="H31" i="1" s="1"/>
  <c r="B32" i="1" s="1"/>
  <c r="I20" i="1"/>
  <c r="I21" i="1"/>
  <c r="I22" i="1"/>
  <c r="I23" i="1"/>
  <c r="I24" i="1"/>
  <c r="I25" i="1"/>
  <c r="I26" i="1"/>
  <c r="I27" i="1"/>
  <c r="I28" i="1"/>
  <c r="I29" i="1"/>
  <c r="I17" i="1"/>
  <c r="G18" i="1"/>
  <c r="G19" i="1"/>
  <c r="G20" i="1"/>
  <c r="G21" i="1"/>
  <c r="G22" i="1"/>
  <c r="G23" i="1"/>
  <c r="G24" i="1"/>
  <c r="G25" i="1"/>
  <c r="G26" i="1"/>
  <c r="G27" i="1"/>
  <c r="G28" i="1"/>
  <c r="G29" i="1"/>
  <c r="G17" i="1"/>
  <c r="D37" i="1"/>
  <c r="B18" i="1" l="1"/>
  <c r="B19" i="1"/>
  <c r="B20" i="1"/>
  <c r="B21" i="1"/>
  <c r="B22" i="1"/>
  <c r="B23" i="1"/>
  <c r="B24" i="1"/>
  <c r="B25" i="1"/>
  <c r="B26" i="1"/>
  <c r="B27" i="1"/>
  <c r="B28" i="1"/>
  <c r="B29" i="1"/>
  <c r="B17" i="1"/>
  <c r="B5" i="1" l="1"/>
</calcChain>
</file>

<file path=xl/sharedStrings.xml><?xml version="1.0" encoding="utf-8"?>
<sst xmlns="http://schemas.openxmlformats.org/spreadsheetml/2006/main" count="38" uniqueCount="35">
  <si>
    <t>Invoice</t>
  </si>
  <si>
    <t>Tanvir Academy Limited</t>
  </si>
  <si>
    <t>Mirpur 13, Dhaka 1216</t>
  </si>
  <si>
    <t>Mobile: 01752412536</t>
  </si>
  <si>
    <t>Email: tanvir@gmail.com</t>
  </si>
  <si>
    <t>Date</t>
  </si>
  <si>
    <t>Invoice No</t>
  </si>
  <si>
    <t>Bill To</t>
  </si>
  <si>
    <t>Name</t>
  </si>
  <si>
    <t>Company Name</t>
  </si>
  <si>
    <t>Address</t>
  </si>
  <si>
    <t>Phone</t>
  </si>
  <si>
    <t>Email</t>
  </si>
  <si>
    <t>Sl No</t>
  </si>
  <si>
    <t>Product Description</t>
  </si>
  <si>
    <t>Price</t>
  </si>
  <si>
    <t>Quantity</t>
  </si>
  <si>
    <t>Total</t>
  </si>
  <si>
    <t xml:space="preserve">Tax (5%) = </t>
  </si>
  <si>
    <t xml:space="preserve">Discount (15%) = </t>
  </si>
  <si>
    <t>Total Amount</t>
  </si>
  <si>
    <t>Final Amount</t>
  </si>
  <si>
    <t>Note</t>
  </si>
  <si>
    <t>Paid</t>
  </si>
  <si>
    <t>Due</t>
  </si>
  <si>
    <t>In Words</t>
  </si>
  <si>
    <t>Received By</t>
  </si>
  <si>
    <t>Signature &amp; Seal</t>
  </si>
  <si>
    <t>Product Name</t>
  </si>
  <si>
    <t>Monitor</t>
  </si>
  <si>
    <t>Mouse</t>
  </si>
  <si>
    <t>Speaker</t>
  </si>
  <si>
    <t>SSD Card</t>
  </si>
  <si>
    <t>Router</t>
  </si>
  <si>
    <t>Keyboard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</si>
</sst>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6"/>
      <color theme="1"/>
      <name val="Century Gothic"/>
      <family val="2"/>
    </font>
    <font>
      <b/>
      <sz val="12"/>
      <color theme="1"/>
      <name val="Century Gothic"/>
      <family val="2"/>
    </font>
    <font>
      <b/>
      <sz val="11"/>
      <color theme="1"/>
      <name val="Century Gothic"/>
      <family val="2"/>
    </font>
    <font>
      <sz val="11"/>
      <color theme="1"/>
      <name val="Century"/>
      <family val="1"/>
    </font>
    <font>
      <b/>
      <sz val="14"/>
      <color theme="0"/>
      <name val="Century Gothic"/>
      <family val="2"/>
    </font>
    <font>
      <b/>
      <sz val="14"/>
      <name val="Century Gothic"/>
      <family val="2"/>
    </font>
    <font>
      <sz val="10"/>
      <color theme="1"/>
      <name val="Century Gothic"/>
      <family val="2"/>
    </font>
    <font>
      <sz val="12"/>
      <color theme="1"/>
      <name val="Century"/>
      <family val="1"/>
    </font>
    <font>
      <b/>
      <sz val="11"/>
      <color theme="1"/>
      <name val="Century"/>
      <family val="1"/>
    </font>
    <font>
      <b/>
      <sz val="12"/>
      <color theme="1"/>
      <name val="Century"/>
      <family val="1"/>
    </font>
    <font>
      <sz val="14"/>
      <color theme="1"/>
      <name val="Century"/>
      <family val="1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8" fillId="0" borderId="0" xfId="0" applyFont="1" applyAlignment="1">
      <alignment horizontal="right" vertical="center"/>
    </xf>
    <xf numFmtId="0" fontId="4" fillId="2" borderId="1" xfId="0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/>
    </xf>
  </cellXfs>
  <cellStyles count="1">
    <cellStyle name="Normal" xfId="0" builtinId="0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entury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entury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entury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entur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ables/table1.xml><?xml version="1.0" encoding="utf-8"?>
<table xmlns="http://schemas.openxmlformats.org/spreadsheetml/2006/main" id="1" name="Table1" displayName="Table1" ref="A1:B7" totalsRowShown="0" headerRowDxfId="3" dataDxfId="2">
  <autoFilter ref="A1:B7"/>
  <sortState ref="A2:B7">
    <sortCondition ref="B1:B7"/>
  </sortState>
  <tableColumns count="2">
    <tableColumn id="1" name="Product Name" dataDxfId="1"/>
    <tableColumn id="2" name="Pric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43"/>
  <sheetViews>
    <sheetView showGridLines="0" tabSelected="1" zoomScaleNormal="100" workbookViewId="0">
      <selection activeCell="P15" sqref="P15"/>
    </sheetView>
  </sheetViews>
  <sheetFormatPr defaultRowHeight="15" x14ac:dyDescent="0.25"/>
  <cols>
    <col min="4" max="4" width="14.140625" customWidth="1"/>
    <col min="6" max="6" width="9.140625" customWidth="1"/>
    <col min="18" max="18" width="11.42578125" customWidth="1"/>
  </cols>
  <sheetData>
    <row r="1" spans="2:9" x14ac:dyDescent="0.25">
      <c r="B1" s="14" t="s">
        <v>0</v>
      </c>
      <c r="C1" s="14"/>
      <c r="D1" s="14"/>
      <c r="G1" s="7" t="s">
        <v>1</v>
      </c>
      <c r="H1" s="7"/>
      <c r="I1" s="7"/>
    </row>
    <row r="2" spans="2:9" x14ac:dyDescent="0.25">
      <c r="B2" s="14"/>
      <c r="C2" s="14"/>
      <c r="D2" s="14"/>
      <c r="G2" s="7"/>
      <c r="H2" s="7"/>
      <c r="I2" s="7"/>
    </row>
    <row r="3" spans="2:9" x14ac:dyDescent="0.25">
      <c r="B3" s="14"/>
      <c r="C3" s="14"/>
      <c r="D3" s="14"/>
      <c r="G3" s="8" t="s">
        <v>2</v>
      </c>
      <c r="H3" s="8"/>
      <c r="I3" s="8"/>
    </row>
    <row r="4" spans="2:9" x14ac:dyDescent="0.25">
      <c r="B4" s="9" t="s">
        <v>5</v>
      </c>
      <c r="C4" s="9"/>
      <c r="D4" s="1" t="s">
        <v>6</v>
      </c>
      <c r="G4" s="8" t="s">
        <v>3</v>
      </c>
      <c r="H4" s="8"/>
      <c r="I4" s="8"/>
    </row>
    <row r="5" spans="2:9" x14ac:dyDescent="0.25">
      <c r="B5" s="10">
        <f ca="1">TODAY()</f>
        <v>45443</v>
      </c>
      <c r="C5" s="11"/>
      <c r="D5" s="2">
        <v>101</v>
      </c>
      <c r="G5" s="8" t="s">
        <v>4</v>
      </c>
      <c r="H5" s="8"/>
      <c r="I5" s="8"/>
    </row>
    <row r="8" spans="2:9" ht="18" x14ac:dyDescent="0.25">
      <c r="B8" s="15" t="s">
        <v>7</v>
      </c>
      <c r="C8" s="16"/>
      <c r="D8" s="16"/>
      <c r="E8" s="16"/>
      <c r="F8" s="16"/>
      <c r="G8" s="16"/>
      <c r="H8" s="16"/>
      <c r="I8" s="16"/>
    </row>
    <row r="9" spans="2:9" x14ac:dyDescent="0.25">
      <c r="B9" s="17" t="s">
        <v>8</v>
      </c>
      <c r="C9" s="17"/>
      <c r="D9" s="13"/>
      <c r="E9" s="13"/>
      <c r="F9" s="13"/>
      <c r="G9" s="13"/>
      <c r="H9" s="13"/>
      <c r="I9" s="13"/>
    </row>
    <row r="10" spans="2:9" x14ac:dyDescent="0.25">
      <c r="B10" s="17" t="s">
        <v>9</v>
      </c>
      <c r="C10" s="17"/>
      <c r="D10" s="13"/>
      <c r="E10" s="13"/>
      <c r="F10" s="13"/>
      <c r="G10" s="13"/>
      <c r="H10" s="13"/>
      <c r="I10" s="13"/>
    </row>
    <row r="11" spans="2:9" x14ac:dyDescent="0.25">
      <c r="B11" s="17" t="s">
        <v>10</v>
      </c>
      <c r="C11" s="17"/>
      <c r="D11" s="13"/>
      <c r="E11" s="13"/>
      <c r="F11" s="13"/>
      <c r="G11" s="13"/>
      <c r="H11" s="13"/>
      <c r="I11" s="13"/>
    </row>
    <row r="12" spans="2:9" x14ac:dyDescent="0.25">
      <c r="B12" s="17" t="s">
        <v>11</v>
      </c>
      <c r="C12" s="17"/>
      <c r="D12" s="13"/>
      <c r="E12" s="13"/>
      <c r="F12" s="13"/>
      <c r="G12" s="13"/>
      <c r="H12" s="13"/>
      <c r="I12" s="13"/>
    </row>
    <row r="13" spans="2:9" x14ac:dyDescent="0.25">
      <c r="B13" s="17" t="s">
        <v>12</v>
      </c>
      <c r="C13" s="17"/>
      <c r="D13" s="13"/>
      <c r="E13" s="13"/>
      <c r="F13" s="13"/>
      <c r="G13" s="13"/>
      <c r="H13" s="13"/>
      <c r="I13" s="13"/>
    </row>
    <row r="16" spans="2:9" x14ac:dyDescent="0.25">
      <c r="B16" s="5" t="s">
        <v>13</v>
      </c>
      <c r="C16" s="12" t="s">
        <v>14</v>
      </c>
      <c r="D16" s="12"/>
      <c r="E16" s="12"/>
      <c r="F16" s="12"/>
      <c r="G16" s="5" t="s">
        <v>15</v>
      </c>
      <c r="H16" s="5" t="s">
        <v>16</v>
      </c>
      <c r="I16" s="5" t="s">
        <v>17</v>
      </c>
    </row>
    <row r="17" spans="2:9" x14ac:dyDescent="0.25">
      <c r="B17" s="3">
        <f>IF(C17="","",ROW()-16)</f>
        <v>1</v>
      </c>
      <c r="C17" s="13" t="s">
        <v>33</v>
      </c>
      <c r="D17" s="13"/>
      <c r="E17" s="13"/>
      <c r="F17" s="13"/>
      <c r="G17" s="4">
        <f>IFERROR(VLOOKUP(C17,Table1[#All],2,FALSE),"")</f>
        <v>2690</v>
      </c>
      <c r="H17" s="4">
        <v>2</v>
      </c>
      <c r="I17" s="4">
        <f>IFERROR(G17*H17,"")</f>
        <v>5380</v>
      </c>
    </row>
    <row r="18" spans="2:9" x14ac:dyDescent="0.25">
      <c r="B18" s="3">
        <f t="shared" ref="B18:B29" si="0">IF(C18="","",ROW()-16)</f>
        <v>2</v>
      </c>
      <c r="C18" s="13" t="s">
        <v>31</v>
      </c>
      <c r="D18" s="13"/>
      <c r="E18" s="13"/>
      <c r="F18" s="13"/>
      <c r="G18" s="4">
        <f>IFERROR(VLOOKUP(C18,Table1[#All],2,FALSE),"")</f>
        <v>700</v>
      </c>
      <c r="H18" s="4">
        <v>3</v>
      </c>
      <c r="I18" s="4">
        <f t="shared" ref="I18:I29" si="1">IFERROR(G18*H18,"")</f>
        <v>2100</v>
      </c>
    </row>
    <row r="19" spans="2:9" x14ac:dyDescent="0.25">
      <c r="B19" s="3" t="str">
        <f t="shared" si="0"/>
        <v/>
      </c>
      <c r="C19" s="13"/>
      <c r="D19" s="13"/>
      <c r="E19" s="13"/>
      <c r="F19" s="13"/>
      <c r="G19" s="4" t="str">
        <f>IFERROR(VLOOKUP(C19,Table1[#All],2,FALSE),"")</f>
        <v/>
      </c>
      <c r="H19" s="4"/>
      <c r="I19" s="4" t="str">
        <f t="shared" si="1"/>
        <v/>
      </c>
    </row>
    <row r="20" spans="2:9" x14ac:dyDescent="0.25">
      <c r="B20" s="3" t="str">
        <f t="shared" si="0"/>
        <v/>
      </c>
      <c r="C20" s="13"/>
      <c r="D20" s="13"/>
      <c r="E20" s="13"/>
      <c r="F20" s="13"/>
      <c r="G20" s="4" t="str">
        <f>IFERROR(VLOOKUP(C20,Table1[#All],2,FALSE),"")</f>
        <v/>
      </c>
      <c r="H20" s="4"/>
      <c r="I20" s="4" t="str">
        <f t="shared" si="1"/>
        <v/>
      </c>
    </row>
    <row r="21" spans="2:9" x14ac:dyDescent="0.25">
      <c r="B21" s="3" t="str">
        <f t="shared" si="0"/>
        <v/>
      </c>
      <c r="C21" s="13"/>
      <c r="D21" s="13"/>
      <c r="E21" s="13"/>
      <c r="F21" s="13"/>
      <c r="G21" s="4" t="str">
        <f>IFERROR(VLOOKUP(C21,Table1[#All],2,FALSE),"")</f>
        <v/>
      </c>
      <c r="H21" s="4"/>
      <c r="I21" s="4" t="str">
        <f t="shared" si="1"/>
        <v/>
      </c>
    </row>
    <row r="22" spans="2:9" x14ac:dyDescent="0.25">
      <c r="B22" s="3" t="str">
        <f t="shared" si="0"/>
        <v/>
      </c>
      <c r="C22" s="13"/>
      <c r="D22" s="13"/>
      <c r="E22" s="13"/>
      <c r="F22" s="13"/>
      <c r="G22" s="4" t="str">
        <f>IFERROR(VLOOKUP(C22,Table1[#All],2,FALSE),"")</f>
        <v/>
      </c>
      <c r="H22" s="4"/>
      <c r="I22" s="4" t="str">
        <f t="shared" si="1"/>
        <v/>
      </c>
    </row>
    <row r="23" spans="2:9" x14ac:dyDescent="0.25">
      <c r="B23" s="3" t="str">
        <f t="shared" si="0"/>
        <v/>
      </c>
      <c r="C23" s="13"/>
      <c r="D23" s="13"/>
      <c r="E23" s="13"/>
      <c r="F23" s="13"/>
      <c r="G23" s="4" t="str">
        <f>IFERROR(VLOOKUP(C23,Table1[#All],2,FALSE),"")</f>
        <v/>
      </c>
      <c r="H23" s="4"/>
      <c r="I23" s="4" t="str">
        <f t="shared" si="1"/>
        <v/>
      </c>
    </row>
    <row r="24" spans="2:9" x14ac:dyDescent="0.25">
      <c r="B24" s="3" t="str">
        <f t="shared" si="0"/>
        <v/>
      </c>
      <c r="C24" s="13"/>
      <c r="D24" s="13"/>
      <c r="E24" s="13"/>
      <c r="F24" s="13"/>
      <c r="G24" s="4" t="str">
        <f>IFERROR(VLOOKUP(C24,Table1[#All],2,FALSE),"")</f>
        <v/>
      </c>
      <c r="H24" s="4"/>
      <c r="I24" s="4" t="str">
        <f t="shared" si="1"/>
        <v/>
      </c>
    </row>
    <row r="25" spans="2:9" x14ac:dyDescent="0.25">
      <c r="B25" s="3" t="str">
        <f t="shared" si="0"/>
        <v/>
      </c>
      <c r="C25" s="13"/>
      <c r="D25" s="13"/>
      <c r="E25" s="13"/>
      <c r="F25" s="13"/>
      <c r="G25" s="4" t="str">
        <f>IFERROR(VLOOKUP(C25,Table1[#All],2,FALSE),"")</f>
        <v/>
      </c>
      <c r="H25" s="4"/>
      <c r="I25" s="4" t="str">
        <f t="shared" si="1"/>
        <v/>
      </c>
    </row>
    <row r="26" spans="2:9" x14ac:dyDescent="0.25">
      <c r="B26" s="3" t="str">
        <f t="shared" si="0"/>
        <v/>
      </c>
      <c r="C26" s="13"/>
      <c r="D26" s="13"/>
      <c r="E26" s="13"/>
      <c r="F26" s="13"/>
      <c r="G26" s="4" t="str">
        <f>IFERROR(VLOOKUP(C26,Table1[#All],2,FALSE),"")</f>
        <v/>
      </c>
      <c r="H26" s="4"/>
      <c r="I26" s="4" t="str">
        <f t="shared" si="1"/>
        <v/>
      </c>
    </row>
    <row r="27" spans="2:9" x14ac:dyDescent="0.25">
      <c r="B27" s="3" t="str">
        <f t="shared" si="0"/>
        <v/>
      </c>
      <c r="C27" s="13"/>
      <c r="D27" s="13"/>
      <c r="E27" s="13"/>
      <c r="F27" s="13"/>
      <c r="G27" s="4" t="str">
        <f>IFERROR(VLOOKUP(C27,Table1[#All],2,FALSE),"")</f>
        <v/>
      </c>
      <c r="H27" s="4"/>
      <c r="I27" s="4" t="str">
        <f t="shared" si="1"/>
        <v/>
      </c>
    </row>
    <row r="28" spans="2:9" x14ac:dyDescent="0.25">
      <c r="B28" s="3" t="str">
        <f t="shared" si="0"/>
        <v/>
      </c>
      <c r="C28" s="13"/>
      <c r="D28" s="13"/>
      <c r="E28" s="13"/>
      <c r="F28" s="13"/>
      <c r="G28" s="4" t="str">
        <f>IFERROR(VLOOKUP(C28,Table1[#All],2,FALSE),"")</f>
        <v/>
      </c>
      <c r="H28" s="4"/>
      <c r="I28" s="4" t="str">
        <f t="shared" si="1"/>
        <v/>
      </c>
    </row>
    <row r="29" spans="2:9" x14ac:dyDescent="0.25">
      <c r="B29" s="3" t="str">
        <f t="shared" si="0"/>
        <v/>
      </c>
      <c r="C29" s="13"/>
      <c r="D29" s="13"/>
      <c r="E29" s="13"/>
      <c r="F29" s="13"/>
      <c r="G29" s="4" t="str">
        <f>IFERROR(VLOOKUP(C29,Table1[#All],2,FALSE),"")</f>
        <v/>
      </c>
      <c r="H29" s="4"/>
      <c r="I29" s="4" t="str">
        <f t="shared" si="1"/>
        <v/>
      </c>
    </row>
    <row r="31" spans="2:9" ht="15.75" x14ac:dyDescent="0.25">
      <c r="B31" s="20" t="s">
        <v>18</v>
      </c>
      <c r="C31" s="21"/>
      <c r="D31" s="20" t="s">
        <v>19</v>
      </c>
      <c r="E31" s="21"/>
      <c r="F31" s="18" t="s">
        <v>20</v>
      </c>
      <c r="G31" s="18"/>
      <c r="H31" s="11">
        <f>SUM(I17:I29)</f>
        <v>7480</v>
      </c>
      <c r="I31" s="11"/>
    </row>
    <row r="32" spans="2:9" ht="15.75" x14ac:dyDescent="0.25">
      <c r="B32" s="20">
        <f>H31*5%</f>
        <v>374</v>
      </c>
      <c r="C32" s="21"/>
      <c r="D32" s="20">
        <f>H31*15%</f>
        <v>1122</v>
      </c>
      <c r="E32" s="21"/>
      <c r="F32" s="19" t="s">
        <v>21</v>
      </c>
      <c r="G32" s="19"/>
      <c r="H32" s="11">
        <f>H31+B32-D32</f>
        <v>6732</v>
      </c>
      <c r="I32" s="11"/>
    </row>
    <row r="34" spans="2:9" ht="15.75" x14ac:dyDescent="0.25">
      <c r="B34" s="11" t="s">
        <v>22</v>
      </c>
      <c r="C34" s="11"/>
      <c r="D34" s="11"/>
      <c r="E34" s="11"/>
      <c r="F34" s="18" t="s">
        <v>23</v>
      </c>
      <c r="G34" s="18"/>
      <c r="H34" s="11">
        <v>4000</v>
      </c>
      <c r="I34" s="11"/>
    </row>
    <row r="35" spans="2:9" ht="15.75" x14ac:dyDescent="0.25">
      <c r="B35" s="11"/>
      <c r="C35" s="11"/>
      <c r="D35" s="11"/>
      <c r="E35" s="11"/>
      <c r="F35" s="18" t="s">
        <v>24</v>
      </c>
      <c r="G35" s="18"/>
      <c r="H35" s="11">
        <f>H32-H34</f>
        <v>2732</v>
      </c>
      <c r="I35" s="11"/>
    </row>
    <row r="37" spans="2:9" x14ac:dyDescent="0.25">
      <c r="B37" s="22" t="s">
        <v>25</v>
      </c>
      <c r="C37" s="22"/>
      <c r="D37" s="23" t="str">
        <f>SpellNumber(H32)</f>
        <v xml:space="preserve">Rupees Six Thousand Seven Hundred ThirtyTwo Only </v>
      </c>
      <c r="E37" s="23"/>
      <c r="F37" s="23"/>
      <c r="G37" s="23"/>
      <c r="H37" s="23"/>
      <c r="I37" s="23"/>
    </row>
    <row r="38" spans="2:9" x14ac:dyDescent="0.25">
      <c r="B38" s="22"/>
      <c r="C38" s="22"/>
      <c r="D38" s="23"/>
      <c r="E38" s="23"/>
      <c r="F38" s="23"/>
      <c r="G38" s="23"/>
      <c r="H38" s="23"/>
      <c r="I38" s="23"/>
    </row>
    <row r="43" spans="2:9" ht="15.75" x14ac:dyDescent="0.25">
      <c r="B43" s="24" t="s">
        <v>26</v>
      </c>
      <c r="C43" s="25"/>
      <c r="D43" s="25"/>
      <c r="G43" s="26" t="s">
        <v>27</v>
      </c>
      <c r="H43" s="26"/>
      <c r="I43" s="26"/>
    </row>
  </sheetData>
  <mergeCells count="50">
    <mergeCell ref="B37:C38"/>
    <mergeCell ref="D37:I38"/>
    <mergeCell ref="B43:D43"/>
    <mergeCell ref="G43:I43"/>
    <mergeCell ref="B34:B35"/>
    <mergeCell ref="C34:E35"/>
    <mergeCell ref="F34:G34"/>
    <mergeCell ref="F35:G35"/>
    <mergeCell ref="H34:I34"/>
    <mergeCell ref="H35:I35"/>
    <mergeCell ref="F31:G31"/>
    <mergeCell ref="F32:G32"/>
    <mergeCell ref="H31:I31"/>
    <mergeCell ref="H32:I32"/>
    <mergeCell ref="B31:C31"/>
    <mergeCell ref="B32:C32"/>
    <mergeCell ref="D31:E31"/>
    <mergeCell ref="D32:E32"/>
    <mergeCell ref="C25:F25"/>
    <mergeCell ref="C26:F26"/>
    <mergeCell ref="C27:F27"/>
    <mergeCell ref="C28:F28"/>
    <mergeCell ref="C29:F29"/>
    <mergeCell ref="C20:F20"/>
    <mergeCell ref="C21:F21"/>
    <mergeCell ref="C22:F22"/>
    <mergeCell ref="C23:F23"/>
    <mergeCell ref="C24:F24"/>
    <mergeCell ref="C16:F16"/>
    <mergeCell ref="C17:F17"/>
    <mergeCell ref="C18:F18"/>
    <mergeCell ref="C19:F19"/>
    <mergeCell ref="B1:D3"/>
    <mergeCell ref="D12:I12"/>
    <mergeCell ref="D13:I13"/>
    <mergeCell ref="B8:I8"/>
    <mergeCell ref="B9:C9"/>
    <mergeCell ref="B10:C10"/>
    <mergeCell ref="B11:C11"/>
    <mergeCell ref="B12:C12"/>
    <mergeCell ref="B13:C13"/>
    <mergeCell ref="D9:I9"/>
    <mergeCell ref="D10:I10"/>
    <mergeCell ref="D11:I11"/>
    <mergeCell ref="G1:I2"/>
    <mergeCell ref="G3:I3"/>
    <mergeCell ref="G4:I4"/>
    <mergeCell ref="G5:I5"/>
    <mergeCell ref="B4:C4"/>
    <mergeCell ref="B5:C5"/>
  </mergeCells>
  <pageMargins left="0.7" right="0.7" top="0.75" bottom="0.75" header="0.3" footer="0.3"/>
  <pageSetup paperSize="9" orientation="portrait" r:id="rId1"/>
  <headerFooter>
    <oddHeader>&amp;C
 &amp;G</oddHeader>
    <oddFooter>&amp;L&amp;D&amp;C&amp;T&amp;R&amp;P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Sheet2!$A$2:$A$7</xm:f>
          </x14:formula1>
          <xm:sqref>C17:F29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selection activeCell="D13" sqref="D13"/>
    </sheetView>
  </sheetViews>
  <sheetFormatPr defaultRowHeight="15" x14ac:dyDescent="0.25"/>
  <cols>
    <col min="1" max="1" width="27.7109375" customWidth="1"/>
    <col min="2" max="2" width="18.140625" customWidth="1"/>
  </cols>
  <sheetData>
    <row r="1" spans="1:2" ht="18" x14ac:dyDescent="0.25">
      <c r="A1" s="6" t="s">
        <v>28</v>
      </c>
      <c r="B1" s="6" t="s">
        <v>15</v>
      </c>
    </row>
    <row r="2" spans="1:2" ht="18" x14ac:dyDescent="0.25">
      <c r="A2" s="6" t="s">
        <v>30</v>
      </c>
      <c r="B2" s="6">
        <v>350</v>
      </c>
    </row>
    <row r="3" spans="1:2" ht="18" x14ac:dyDescent="0.25">
      <c r="A3" s="6" t="s">
        <v>31</v>
      </c>
      <c r="B3" s="6">
        <v>700</v>
      </c>
    </row>
    <row r="4" spans="1:2" ht="18" x14ac:dyDescent="0.25">
      <c r="A4" s="6" t="s">
        <v>34</v>
      </c>
      <c r="B4" s="6">
        <v>850</v>
      </c>
    </row>
    <row r="5" spans="1:2" ht="18" x14ac:dyDescent="0.25">
      <c r="A5" s="6" t="s">
        <v>32</v>
      </c>
      <c r="B5" s="6">
        <v>2500</v>
      </c>
    </row>
    <row r="6" spans="1:2" ht="18" x14ac:dyDescent="0.25">
      <c r="A6" s="6" t="s">
        <v>33</v>
      </c>
      <c r="B6" s="6">
        <v>2690</v>
      </c>
    </row>
    <row r="7" spans="1:2" ht="18" x14ac:dyDescent="0.25">
      <c r="A7" s="6" t="s">
        <v>29</v>
      </c>
      <c r="B7" s="6">
        <v>5000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85911B-3261-4877-9992-EFCACCBD55B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Quazi Hasnat Irfan</dc:creator>
  <cp:lastModifiedBy>Quazi Hasnat Irfan</cp:lastModifiedBy>
  <cp:lastPrinted>2024-05-31T04:19:33Z</cp:lastPrinted>
  <dcterms:created xsi:type="dcterms:W3CDTF">2024-05-29T04:30:54Z</dcterms:created>
  <dcterms:modified xsi:type="dcterms:W3CDTF">2024-05-31T04:21:35Z</dcterms:modified>
</cp:coreProperties>
</file>