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28800" windowHeight="12300"/>
  </bookViews>
  <sheets>
    <sheet name="Home" sheetId="1" r:id="rId1"/>
    <sheet name="Purchase" sheetId="2" r:id="rId2"/>
    <sheet name="Sales" sheetId="3" r:id="rId3"/>
    <sheet name="Stock" sheetId="4" r:id="rId4"/>
  </sheets>
  <definedNames>
    <definedName name="_xlnm._FilterDatabase" localSheetId="1" hidden="1">Purchase!$D$4:$D$14</definedName>
    <definedName name="_xlnm.Criteria" localSheetId="3">Stock!$H$4:$H$5</definedName>
    <definedName name="_xlnm.Extract" localSheetId="3">Stock!$B$4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D5" i="4"/>
  <c r="D6" i="4"/>
  <c r="D7" i="4"/>
  <c r="D8" i="4"/>
  <c r="D9" i="4"/>
  <c r="D10" i="4"/>
  <c r="D11" i="4"/>
  <c r="D12" i="4"/>
  <c r="D13" i="4"/>
  <c r="D14" i="4"/>
  <c r="D15" i="4"/>
  <c r="C5" i="4" l="1"/>
  <c r="E5" i="4" s="1"/>
  <c r="G11" i="1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H5" i="4"/>
</calcChain>
</file>

<file path=xl/sharedStrings.xml><?xml version="1.0" encoding="utf-8"?>
<sst xmlns="http://schemas.openxmlformats.org/spreadsheetml/2006/main" count="57" uniqueCount="22">
  <si>
    <t>Entry Type</t>
  </si>
  <si>
    <t>Sales</t>
  </si>
  <si>
    <t>Invoice No</t>
  </si>
  <si>
    <t>Date</t>
  </si>
  <si>
    <t>Item Name</t>
  </si>
  <si>
    <t>Quantity</t>
  </si>
  <si>
    <t>Rate</t>
  </si>
  <si>
    <t>Purchase</t>
  </si>
  <si>
    <t>Purchase Qty</t>
  </si>
  <si>
    <t>Sale Qty</t>
  </si>
  <si>
    <t>Stock</t>
  </si>
  <si>
    <t>Monitor</t>
  </si>
  <si>
    <t>27-05-2024</t>
  </si>
  <si>
    <t>Mouse</t>
  </si>
  <si>
    <t>Keyboard</t>
  </si>
  <si>
    <t>Laptop</t>
  </si>
  <si>
    <t>28-05-2024</t>
  </si>
  <si>
    <t>SSD Card</t>
  </si>
  <si>
    <t>Speaker</t>
  </si>
  <si>
    <t>Pen Drive</t>
  </si>
  <si>
    <t>29-05-2024</t>
  </si>
  <si>
    <t>Mobile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</si>
</sst>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entury"/>
      <family val="1"/>
    </font>
    <font>
      <sz val="12"/>
      <color theme="1"/>
      <name val="Century"/>
      <family val="1"/>
    </font>
    <font>
      <sz val="14"/>
      <color theme="1"/>
      <name val="Century"/>
      <family val="1"/>
    </font>
    <font>
      <sz val="11"/>
      <color theme="0"/>
      <name val="Calibri"/>
      <family val="2"/>
      <scheme val="minor"/>
    </font>
    <font>
      <b/>
      <sz val="24"/>
      <color theme="0"/>
      <name val="Century Gothic"/>
      <family val="2"/>
    </font>
    <font>
      <sz val="24"/>
      <color theme="0"/>
      <name val="Century Gothic"/>
      <family val="2"/>
    </font>
    <font>
      <sz val="11"/>
      <color theme="1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gray0625">
        <fgColor rgb="FFFF0000"/>
        <bgColor theme="5"/>
      </patternFill>
    </fill>
    <fill>
      <patternFill patternType="gray0625">
        <fgColor auto="1"/>
        <bgColor rgb="FF00B050"/>
      </patternFill>
    </fill>
    <fill>
      <patternFill patternType="lightDown">
        <bgColor theme="5" tint="-0.249977111117893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7" fillId="0" borderId="1" xfId="0" applyFont="1" applyBorder="1" applyAlignment="1">
      <alignment horizontal="right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8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7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0" fillId="3" borderId="2" xfId="0" applyFill="1" applyBorder="1" applyAlignment="1">
      <alignment horizontal="center"/>
    </xf>
    <xf numFmtId="0" fontId="5" fillId="4" borderId="11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</cellXfs>
  <cellStyles count="1">
    <cellStyle name="Normal" xfId="0" builtinId="0"/>
  </cellStyles>
  <dxfs count="26">
    <dxf>
      <font>
        <strike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Sales!A1"/><Relationship Id="rId1" Type="http://schemas.openxmlformats.org/officeDocument/2006/relationships/hyperlink" Target="#Purchase!A1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</xdr:row>
      <xdr:rowOff>3175</xdr:rowOff>
    </xdr:from>
    <xdr:to>
      <xdr:col>2</xdr:col>
      <xdr:colOff>120650</xdr:colOff>
      <xdr:row>2</xdr:row>
      <xdr:rowOff>178435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7000" y="193675"/>
          <a:ext cx="1212850" cy="365760"/>
        </a:xfrm>
        <a:prstGeom prst="roundRect">
          <a:avLst>
            <a:gd name="adj" fmla="val 50000"/>
          </a:avLst>
        </a:prstGeom>
        <a:ln>
          <a:noFill/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tIns="0" rtlCol="0" anchor="t"/>
        <a:lstStyle/>
        <a:p>
          <a:pPr algn="ctr"/>
          <a:r>
            <a:rPr lang="en-US" sz="1600" b="0">
              <a:latin typeface="Century Gothic" panose="020B0502020202020204" pitchFamily="34" charset="0"/>
            </a:rPr>
            <a:t>Purchase</a:t>
          </a:r>
        </a:p>
      </xdr:txBody>
    </xdr:sp>
    <xdr:clientData/>
  </xdr:twoCellAnchor>
  <xdr:twoCellAnchor>
    <xdr:from>
      <xdr:col>3</xdr:col>
      <xdr:colOff>123825</xdr:colOff>
      <xdr:row>1</xdr:row>
      <xdr:rowOff>3175</xdr:rowOff>
    </xdr:from>
    <xdr:to>
      <xdr:col>5</xdr:col>
      <xdr:colOff>498475</xdr:colOff>
      <xdr:row>2</xdr:row>
      <xdr:rowOff>178435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952625" y="193675"/>
          <a:ext cx="1212850" cy="365760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noFill/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tIns="0" rtlCol="0" anchor="t"/>
        <a:lstStyle/>
        <a:p>
          <a:pPr algn="ctr"/>
          <a:r>
            <a:rPr lang="en-US" sz="1600" b="0">
              <a:latin typeface="Century Gothic" panose="020B0502020202020204" pitchFamily="34" charset="0"/>
            </a:rPr>
            <a:t>Sales</a:t>
          </a:r>
        </a:p>
      </xdr:txBody>
    </xdr:sp>
    <xdr:clientData/>
  </xdr:twoCellAnchor>
  <xdr:twoCellAnchor>
    <xdr:from>
      <xdr:col>6</xdr:col>
      <xdr:colOff>0</xdr:colOff>
      <xdr:row>1</xdr:row>
      <xdr:rowOff>3175</xdr:rowOff>
    </xdr:from>
    <xdr:to>
      <xdr:col>7</xdr:col>
      <xdr:colOff>495300</xdr:colOff>
      <xdr:row>2</xdr:row>
      <xdr:rowOff>178435</xdr:rowOff>
    </xdr:to>
    <xdr:sp macro="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3778250" y="193675"/>
          <a:ext cx="1212850" cy="365760"/>
        </a:xfrm>
        <a:prstGeom prst="roundRect">
          <a:avLst>
            <a:gd name="adj" fmla="val 50000"/>
          </a:avLst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tIns="0" rtlCol="0" anchor="t"/>
        <a:lstStyle/>
        <a:p>
          <a:pPr algn="ctr"/>
          <a:r>
            <a:rPr lang="en-US" sz="1600" b="0">
              <a:latin typeface="Century Gothic" panose="020B0502020202020204" pitchFamily="34" charset="0"/>
            </a:rPr>
            <a:t>Stock</a:t>
          </a:r>
        </a:p>
      </xdr:txBody>
    </xdr:sp>
    <xdr:clientData/>
  </xdr:twoCellAnchor>
  <xdr:twoCellAnchor>
    <xdr:from>
      <xdr:col>1</xdr:col>
      <xdr:colOff>266700</xdr:colOff>
      <xdr:row>13</xdr:row>
      <xdr:rowOff>0</xdr:rowOff>
    </xdr:from>
    <xdr:to>
      <xdr:col>3</xdr:col>
      <xdr:colOff>601980</xdr:colOff>
      <xdr:row>14</xdr:row>
      <xdr:rowOff>83820</xdr:rowOff>
    </xdr:to>
    <xdr:sp macro="[0]!Purchase" textlink="">
      <xdr:nvSpPr>
        <xdr:cNvPr id="5" name="Rounded Rectangle 4"/>
        <xdr:cNvSpPr/>
      </xdr:nvSpPr>
      <xdr:spPr>
        <a:xfrm>
          <a:off x="876300" y="2527300"/>
          <a:ext cx="1554480" cy="274320"/>
        </a:xfrm>
        <a:prstGeom prst="roundRect">
          <a:avLst>
            <a:gd name="adj" fmla="val 50000"/>
          </a:avLst>
        </a:prstGeom>
        <a:solidFill>
          <a:schemeClr val="accent4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tIns="0" rtlCol="0" anchor="t"/>
        <a:lstStyle/>
        <a:p>
          <a:pPr algn="ctr"/>
          <a:r>
            <a:rPr lang="en-US" sz="1200" b="0">
              <a:latin typeface="Century Gothic" panose="020B0502020202020204" pitchFamily="34" charset="0"/>
            </a:rPr>
            <a:t>Purchase Entry</a:t>
          </a:r>
        </a:p>
      </xdr:txBody>
    </xdr:sp>
    <xdr:clientData/>
  </xdr:twoCellAnchor>
  <xdr:twoCellAnchor>
    <xdr:from>
      <xdr:col>5</xdr:col>
      <xdr:colOff>3175</xdr:colOff>
      <xdr:row>13</xdr:row>
      <xdr:rowOff>0</xdr:rowOff>
    </xdr:from>
    <xdr:to>
      <xdr:col>6</xdr:col>
      <xdr:colOff>338455</xdr:colOff>
      <xdr:row>14</xdr:row>
      <xdr:rowOff>83820</xdr:rowOff>
    </xdr:to>
    <xdr:sp macro="[0]!Sales" textlink="">
      <xdr:nvSpPr>
        <xdr:cNvPr id="6" name="Rounded Rectangle 5"/>
        <xdr:cNvSpPr/>
      </xdr:nvSpPr>
      <xdr:spPr>
        <a:xfrm>
          <a:off x="2670175" y="2527300"/>
          <a:ext cx="1554480" cy="274320"/>
        </a:xfrm>
        <a:prstGeom prst="roundRect">
          <a:avLst>
            <a:gd name="adj" fmla="val 50000"/>
          </a:avLst>
        </a:prstGeom>
        <a:solidFill>
          <a:srgbClr val="7030A0"/>
        </a:solidFill>
        <a:ln>
          <a:noFill/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tIns="0" rtlCol="0" anchor="t"/>
        <a:lstStyle/>
        <a:p>
          <a:pPr algn="ctr"/>
          <a:r>
            <a:rPr lang="en-US" sz="1200" b="0">
              <a:latin typeface="Century Gothic" panose="020B0502020202020204" pitchFamily="34" charset="0"/>
            </a:rPr>
            <a:t>Sales Entry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238119</xdr:colOff>
      <xdr:row>2</xdr:row>
      <xdr:rowOff>176892</xdr:rowOff>
    </xdr:from>
    <xdr:to>
      <xdr:col>8</xdr:col>
      <xdr:colOff>379050</xdr:colOff>
      <xdr:row>6</xdr:row>
      <xdr:rowOff>27214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1719" t="22392" r="21719" b="7116"/>
        <a:stretch/>
      </xdr:blipFill>
      <xdr:spPr>
        <a:xfrm>
          <a:off x="8109851" y="557892"/>
          <a:ext cx="753253" cy="6327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238130</xdr:colOff>
      <xdr:row>1</xdr:row>
      <xdr:rowOff>156482</xdr:rowOff>
    </xdr:from>
    <xdr:to>
      <xdr:col>8</xdr:col>
      <xdr:colOff>379062</xdr:colOff>
      <xdr:row>5</xdr:row>
      <xdr:rowOff>27215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1719" t="22392" r="21719" b="7116"/>
        <a:stretch/>
      </xdr:blipFill>
      <xdr:spPr>
        <a:xfrm>
          <a:off x="8177898" y="346982"/>
          <a:ext cx="753253" cy="6327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129272</xdr:colOff>
      <xdr:row>2</xdr:row>
      <xdr:rowOff>27215</xdr:rowOff>
    </xdr:from>
    <xdr:to>
      <xdr:col>8</xdr:col>
      <xdr:colOff>489861</xdr:colOff>
      <xdr:row>3</xdr:row>
      <xdr:rowOff>170090</xdr:rowOff>
    </xdr:to>
    <xdr:sp macro="[0]!Refresh" textlink="">
      <xdr:nvSpPr>
        <xdr:cNvPr id="2" name="Rounded Rectangle 1"/>
        <xdr:cNvSpPr/>
      </xdr:nvSpPr>
      <xdr:spPr>
        <a:xfrm>
          <a:off x="6245683" y="408215"/>
          <a:ext cx="972910" cy="333375"/>
        </a:xfrm>
        <a:prstGeom prst="roundRect">
          <a:avLst>
            <a:gd name="adj" fmla="val 50000"/>
          </a:avLst>
        </a:prstGeom>
        <a:solidFill>
          <a:srgbClr val="002060"/>
        </a:solidFill>
        <a:ln>
          <a:noFill/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tIns="0" rtlCol="0" anchor="t"/>
        <a:lstStyle/>
        <a:p>
          <a:pPr algn="ctr"/>
          <a:r>
            <a:rPr lang="en-US" sz="1400" b="0">
              <a:latin typeface="Century Gothic" panose="020B0502020202020204" pitchFamily="34" charset="0"/>
            </a:rPr>
            <a:t>Refresh</a:t>
          </a:r>
          <a:endParaRPr lang="en-US" sz="1600" b="0"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6</xdr:col>
      <xdr:colOff>231322</xdr:colOff>
      <xdr:row>9</xdr:row>
      <xdr:rowOff>27210</xdr:rowOff>
    </xdr:from>
    <xdr:to>
      <xdr:col>8</xdr:col>
      <xdr:colOff>372254</xdr:colOff>
      <xdr:row>12</xdr:row>
      <xdr:rowOff>27211</xdr:rowOff>
    </xdr:to>
    <xdr:pic>
      <xdr:nvPicPr>
        <xdr:cNvPr id="3" name="Picture 2">
          <a:hlinkClick xmlns:r="http://schemas.openxmlformats.org/officeDocument/2006/relationships" r:id="rId1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1719" t="22392" r="21719" b="7116"/>
        <a:stretch/>
      </xdr:blipFill>
      <xdr:spPr>
        <a:xfrm>
          <a:off x="6347733" y="1843764"/>
          <a:ext cx="753253" cy="63273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4:F14" totalsRowShown="0" headerRowDxfId="25" headerRowBorderDxfId="24" tableBorderDxfId="23" totalsRowBorderDxfId="22">
  <tableColumns count="5">
    <tableColumn id="1" name="Invoice No" dataDxfId="21"/>
    <tableColumn id="2" name="Date" dataDxfId="20"/>
    <tableColumn id="3" name="Item Name" dataDxfId="19"/>
    <tableColumn id="4" name="Quantity" dataDxfId="18"/>
    <tableColumn id="5" name="Rate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4:F8" totalsRowShown="0" headerRowDxfId="16" headerRowBorderDxfId="15" tableBorderDxfId="14" totalsRowBorderDxfId="13">
  <autoFilter ref="B4:F8"/>
  <tableColumns count="5">
    <tableColumn id="1" name="Invoice No" dataDxfId="12"/>
    <tableColumn id="2" name="Date" dataDxfId="11"/>
    <tableColumn id="3" name="Item Name" dataDxfId="10"/>
    <tableColumn id="4" name="Quantity" dataDxfId="9"/>
    <tableColumn id="5" name="Rate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4:E15" totalsRowShown="0" headerRowDxfId="7" headerRowBorderDxfId="6" tableBorderDxfId="5" totalsRowBorderDxfId="4">
  <tableColumns count="4">
    <tableColumn id="1" name="Item Name" dataDxfId="3"/>
    <tableColumn id="2" name="Purchase Qty" dataDxfId="2">
      <calculatedColumnFormula>SUMIF(Table1[Item Name],Table3[[#This Row],[Item Name]],Table1[Quantity])</calculatedColumnFormula>
    </tableColumn>
    <tableColumn id="3" name="Sale Qty" dataDxfId="1">
      <calculatedColumnFormula>SUMIF(Table2[Item Name],Table3[[#This Row],[Item Name]],Table2[Quantity])</calculatedColumnFormula>
    </tableColumn>
    <tableColumn id="4" name="Stock" dataDxfId="0">
      <calculatedColumnFormula>Table3[[#This Row],[Purchase Qty]]-Table3[[#This Row],[Sale Qty]]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5:G12"/>
  <sheetViews>
    <sheetView showGridLines="0" tabSelected="1" zoomScale="140" zoomScaleNormal="140" workbookViewId="0">
      <selection activeCell="N9" sqref="N9"/>
    </sheetView>
  </sheetViews>
  <sheetFormatPr defaultRowHeight="15" x14ac:dyDescent="0.25"/>
  <cols>
    <col min="5" max="5" width="3.42578125" customWidth="1"/>
    <col min="6" max="6" width="17" customWidth="1"/>
  </cols>
  <sheetData>
    <row r="5" spans="3:7" ht="18" x14ac:dyDescent="0.25">
      <c r="C5" s="19" t="s">
        <v>0</v>
      </c>
      <c r="D5" s="19"/>
      <c r="E5" s="21"/>
      <c r="F5" s="1" t="s">
        <v>1</v>
      </c>
    </row>
    <row r="6" spans="3:7" ht="15.75" x14ac:dyDescent="0.25">
      <c r="C6" s="20" t="s">
        <v>2</v>
      </c>
      <c r="D6" s="20"/>
      <c r="E6" s="21"/>
      <c r="F6" s="18">
        <f>IF(F5="Purchase",MAX(Table1[Invoice No]),MAX(Table2[Invoice No]))</f>
        <v>103</v>
      </c>
    </row>
    <row r="7" spans="3:7" x14ac:dyDescent="0.25">
      <c r="C7" s="22"/>
      <c r="D7" s="22"/>
      <c r="E7" s="22"/>
      <c r="F7" s="22"/>
    </row>
    <row r="8" spans="3:7" ht="16.5" x14ac:dyDescent="0.3">
      <c r="C8" s="23" t="s">
        <v>2</v>
      </c>
      <c r="D8" s="23"/>
      <c r="E8" s="24"/>
      <c r="F8" s="9"/>
    </row>
    <row r="9" spans="3:7" ht="16.5" x14ac:dyDescent="0.3">
      <c r="C9" s="23" t="s">
        <v>3</v>
      </c>
      <c r="D9" s="23"/>
      <c r="E9" s="24"/>
      <c r="F9" s="9"/>
    </row>
    <row r="10" spans="3:7" ht="16.5" x14ac:dyDescent="0.3">
      <c r="C10" s="23" t="s">
        <v>4</v>
      </c>
      <c r="D10" s="23"/>
      <c r="E10" s="24"/>
      <c r="F10" s="9"/>
    </row>
    <row r="11" spans="3:7" ht="16.5" x14ac:dyDescent="0.3">
      <c r="C11" s="23" t="s">
        <v>5</v>
      </c>
      <c r="D11" s="23"/>
      <c r="E11" s="24"/>
      <c r="F11" s="9"/>
      <c r="G11" t="str">
        <f>IFERROR(IF(VLOOKUP(F10,Table3[#All],4,0)&lt;F11,"Stock Not Available"," ")," ")</f>
        <v xml:space="preserve"> </v>
      </c>
    </row>
    <row r="12" spans="3:7" ht="16.5" x14ac:dyDescent="0.3">
      <c r="C12" s="23" t="s">
        <v>6</v>
      </c>
      <c r="D12" s="23"/>
      <c r="E12" s="24"/>
      <c r="F12" s="9"/>
    </row>
  </sheetData>
  <mergeCells count="10">
    <mergeCell ref="C5:D5"/>
    <mergeCell ref="C6:D6"/>
    <mergeCell ref="E5:E6"/>
    <mergeCell ref="C7:F7"/>
    <mergeCell ref="C12:D12"/>
    <mergeCell ref="E8:E12"/>
    <mergeCell ref="C8:D8"/>
    <mergeCell ref="C9:D9"/>
    <mergeCell ref="C10:D10"/>
    <mergeCell ref="C11:D11"/>
  </mergeCells>
  <dataValidations count="1">
    <dataValidation type="list" showInputMessage="1" showErrorMessage="1" sqref="F5">
      <formula1>"Purchase, Sales"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4"/>
  <sheetViews>
    <sheetView showGridLines="0" zoomScale="140" zoomScaleNormal="140" workbookViewId="0"/>
  </sheetViews>
  <sheetFormatPr defaultRowHeight="15" x14ac:dyDescent="0.25"/>
  <cols>
    <col min="2" max="2" width="18.28515625" customWidth="1"/>
    <col min="3" max="3" width="17.28515625" customWidth="1"/>
    <col min="4" max="4" width="25.140625" customWidth="1"/>
    <col min="5" max="5" width="19.85546875" customWidth="1"/>
    <col min="6" max="6" width="19.140625" customWidth="1"/>
  </cols>
  <sheetData>
    <row r="1" spans="2:6" x14ac:dyDescent="0.25">
      <c r="B1" s="25" t="s">
        <v>7</v>
      </c>
      <c r="C1" s="26"/>
      <c r="D1" s="26"/>
      <c r="E1" s="26"/>
      <c r="F1" s="27"/>
    </row>
    <row r="2" spans="2:6" x14ac:dyDescent="0.25">
      <c r="B2" s="28"/>
      <c r="C2" s="29"/>
      <c r="D2" s="29"/>
      <c r="E2" s="29"/>
      <c r="F2" s="30"/>
    </row>
    <row r="3" spans="2:6" x14ac:dyDescent="0.25">
      <c r="B3" s="31"/>
      <c r="C3" s="32"/>
      <c r="D3" s="32"/>
      <c r="E3" s="32"/>
      <c r="F3" s="33"/>
    </row>
    <row r="4" spans="2:6" x14ac:dyDescent="0.25">
      <c r="B4" s="4" t="s">
        <v>2</v>
      </c>
      <c r="C4" s="3" t="s">
        <v>3</v>
      </c>
      <c r="D4" s="3" t="s">
        <v>4</v>
      </c>
      <c r="E4" s="3" t="s">
        <v>5</v>
      </c>
      <c r="F4" s="5" t="s">
        <v>6</v>
      </c>
    </row>
    <row r="5" spans="2:6" x14ac:dyDescent="0.25">
      <c r="B5" s="7"/>
      <c r="C5" s="2"/>
      <c r="D5" s="2"/>
      <c r="E5" s="2"/>
      <c r="F5" s="8"/>
    </row>
    <row r="6" spans="2:6" ht="16.5" x14ac:dyDescent="0.3">
      <c r="B6" s="9">
        <v>109</v>
      </c>
      <c r="C6" s="9" t="s">
        <v>20</v>
      </c>
      <c r="D6" s="9" t="s">
        <v>21</v>
      </c>
      <c r="E6" s="9">
        <v>70</v>
      </c>
      <c r="F6" s="9">
        <v>12500</v>
      </c>
    </row>
    <row r="7" spans="2:6" ht="16.5" x14ac:dyDescent="0.3">
      <c r="B7" s="9">
        <v>108</v>
      </c>
      <c r="C7" s="9" t="s">
        <v>16</v>
      </c>
      <c r="D7" s="9" t="s">
        <v>17</v>
      </c>
      <c r="E7" s="9">
        <v>65</v>
      </c>
      <c r="F7" s="9">
        <v>1300</v>
      </c>
    </row>
    <row r="8" spans="2:6" ht="16.5" x14ac:dyDescent="0.3">
      <c r="B8" s="9">
        <v>107</v>
      </c>
      <c r="C8" s="9" t="s">
        <v>16</v>
      </c>
      <c r="D8" s="9" t="s">
        <v>14</v>
      </c>
      <c r="E8" s="9">
        <v>47</v>
      </c>
      <c r="F8" s="9">
        <v>750</v>
      </c>
    </row>
    <row r="9" spans="2:6" ht="16.5" x14ac:dyDescent="0.3">
      <c r="B9" s="9">
        <v>106</v>
      </c>
      <c r="C9" s="9" t="s">
        <v>16</v>
      </c>
      <c r="D9" s="9" t="s">
        <v>19</v>
      </c>
      <c r="E9" s="9">
        <v>100</v>
      </c>
      <c r="F9" s="9">
        <v>550</v>
      </c>
    </row>
    <row r="10" spans="2:6" ht="16.5" x14ac:dyDescent="0.3">
      <c r="B10" s="9">
        <v>105</v>
      </c>
      <c r="C10" s="9" t="s">
        <v>16</v>
      </c>
      <c r="D10" s="9" t="s">
        <v>13</v>
      </c>
      <c r="E10" s="9">
        <v>20</v>
      </c>
      <c r="F10" s="9">
        <v>400</v>
      </c>
    </row>
    <row r="11" spans="2:6" ht="16.5" x14ac:dyDescent="0.3">
      <c r="B11" s="9">
        <v>104</v>
      </c>
      <c r="C11" s="9" t="s">
        <v>16</v>
      </c>
      <c r="D11" s="9" t="s">
        <v>15</v>
      </c>
      <c r="E11" s="9">
        <v>15</v>
      </c>
      <c r="F11" s="9">
        <v>45000</v>
      </c>
    </row>
    <row r="12" spans="2:6" ht="16.5" x14ac:dyDescent="0.3">
      <c r="B12" s="9">
        <v>103</v>
      </c>
      <c r="C12" s="9" t="s">
        <v>12</v>
      </c>
      <c r="D12" s="9" t="s">
        <v>14</v>
      </c>
      <c r="E12" s="9">
        <v>23</v>
      </c>
      <c r="F12" s="9">
        <v>850</v>
      </c>
    </row>
    <row r="13" spans="2:6" ht="16.5" x14ac:dyDescent="0.3">
      <c r="B13" s="9">
        <v>102</v>
      </c>
      <c r="C13" s="9" t="s">
        <v>12</v>
      </c>
      <c r="D13" s="9" t="s">
        <v>11</v>
      </c>
      <c r="E13" s="9">
        <v>12</v>
      </c>
      <c r="F13" s="9">
        <v>8499</v>
      </c>
    </row>
    <row r="14" spans="2:6" ht="16.5" x14ac:dyDescent="0.3">
      <c r="B14" s="9">
        <v>101</v>
      </c>
      <c r="C14" s="9" t="s">
        <v>12</v>
      </c>
      <c r="D14" s="9" t="s">
        <v>13</v>
      </c>
      <c r="E14" s="9">
        <v>30</v>
      </c>
      <c r="F14" s="9">
        <v>500</v>
      </c>
    </row>
  </sheetData>
  <mergeCells count="1">
    <mergeCell ref="B1:F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8"/>
  <sheetViews>
    <sheetView showGridLines="0" zoomScale="140" zoomScaleNormal="140" workbookViewId="0"/>
  </sheetViews>
  <sheetFormatPr defaultRowHeight="15" x14ac:dyDescent="0.25"/>
  <cols>
    <col min="2" max="2" width="18.28515625" customWidth="1"/>
    <col min="3" max="3" width="20.5703125" customWidth="1"/>
    <col min="4" max="4" width="25.28515625" customWidth="1"/>
    <col min="5" max="6" width="18.28515625" customWidth="1"/>
  </cols>
  <sheetData>
    <row r="1" spans="2:6" x14ac:dyDescent="0.25">
      <c r="B1" s="34" t="s">
        <v>1</v>
      </c>
      <c r="C1" s="35"/>
      <c r="D1" s="35"/>
      <c r="E1" s="35"/>
      <c r="F1" s="35"/>
    </row>
    <row r="2" spans="2:6" x14ac:dyDescent="0.25">
      <c r="B2" s="35"/>
      <c r="C2" s="35"/>
      <c r="D2" s="35"/>
      <c r="E2" s="35"/>
      <c r="F2" s="35"/>
    </row>
    <row r="3" spans="2:6" x14ac:dyDescent="0.25">
      <c r="B3" s="35"/>
      <c r="C3" s="35"/>
      <c r="D3" s="35"/>
      <c r="E3" s="35"/>
      <c r="F3" s="35"/>
    </row>
    <row r="4" spans="2:6" x14ac:dyDescent="0.25">
      <c r="B4" s="4" t="s">
        <v>2</v>
      </c>
      <c r="C4" s="3" t="s">
        <v>3</v>
      </c>
      <c r="D4" s="3" t="s">
        <v>4</v>
      </c>
      <c r="E4" s="3" t="s">
        <v>5</v>
      </c>
      <c r="F4" s="5" t="s">
        <v>6</v>
      </c>
    </row>
    <row r="5" spans="2:6" x14ac:dyDescent="0.25">
      <c r="B5" s="7"/>
      <c r="C5" s="2"/>
      <c r="D5" s="2"/>
      <c r="E5" s="2"/>
      <c r="F5" s="8"/>
    </row>
    <row r="6" spans="2:6" ht="16.5" x14ac:dyDescent="0.3">
      <c r="B6" s="9">
        <v>103</v>
      </c>
      <c r="C6" s="9" t="s">
        <v>20</v>
      </c>
      <c r="D6" s="9" t="s">
        <v>21</v>
      </c>
      <c r="E6" s="9">
        <v>15</v>
      </c>
      <c r="F6" s="9">
        <v>15000</v>
      </c>
    </row>
    <row r="7" spans="2:6" ht="16.5" x14ac:dyDescent="0.3">
      <c r="B7" s="9">
        <v>102</v>
      </c>
      <c r="C7" s="9" t="s">
        <v>16</v>
      </c>
      <c r="D7" s="9" t="s">
        <v>18</v>
      </c>
      <c r="E7" s="9">
        <v>120</v>
      </c>
      <c r="F7" s="9">
        <v>300</v>
      </c>
    </row>
    <row r="8" spans="2:6" ht="16.5" x14ac:dyDescent="0.3">
      <c r="B8" s="9">
        <v>101</v>
      </c>
      <c r="C8" s="9" t="s">
        <v>16</v>
      </c>
      <c r="D8" s="9" t="s">
        <v>17</v>
      </c>
      <c r="E8" s="9">
        <v>500</v>
      </c>
      <c r="F8" s="9">
        <v>4000</v>
      </c>
    </row>
  </sheetData>
  <mergeCells count="1">
    <mergeCell ref="B1:F3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5"/>
  <sheetViews>
    <sheetView showGridLines="0" zoomScale="140" zoomScaleNormal="140" workbookViewId="0">
      <selection activeCell="M8" sqref="M8"/>
    </sheetView>
  </sheetViews>
  <sheetFormatPr defaultRowHeight="15" x14ac:dyDescent="0.25"/>
  <cols>
    <col min="2" max="2" width="19.42578125" customWidth="1"/>
    <col min="3" max="3" width="19.85546875" customWidth="1"/>
    <col min="4" max="5" width="17" customWidth="1"/>
    <col min="8" max="8" width="14.42578125" hidden="1" customWidth="1"/>
  </cols>
  <sheetData>
    <row r="1" spans="2:8" x14ac:dyDescent="0.25">
      <c r="B1" s="36" t="s">
        <v>10</v>
      </c>
      <c r="C1" s="37"/>
      <c r="D1" s="37"/>
      <c r="E1" s="37"/>
    </row>
    <row r="2" spans="2:8" x14ac:dyDescent="0.25">
      <c r="B2" s="37"/>
      <c r="C2" s="37"/>
      <c r="D2" s="37"/>
      <c r="E2" s="37"/>
    </row>
    <row r="3" spans="2:8" x14ac:dyDescent="0.25">
      <c r="B3" s="37"/>
      <c r="C3" s="37"/>
      <c r="D3" s="37"/>
      <c r="E3" s="37"/>
    </row>
    <row r="4" spans="2:8" x14ac:dyDescent="0.25">
      <c r="B4" s="4" t="s">
        <v>4</v>
      </c>
      <c r="C4" s="3" t="s">
        <v>8</v>
      </c>
      <c r="D4" s="3" t="s">
        <v>9</v>
      </c>
      <c r="E4" s="5" t="s">
        <v>10</v>
      </c>
      <c r="F4" s="6"/>
      <c r="H4" t="s">
        <v>4</v>
      </c>
    </row>
    <row r="5" spans="2:8" ht="16.5" x14ac:dyDescent="0.3">
      <c r="B5" s="9" t="s">
        <v>21</v>
      </c>
      <c r="C5" s="10">
        <f>SUMIF(Table1[Item Name],Table3[[#This Row],[Item Name]],Table1[Quantity])</f>
        <v>70</v>
      </c>
      <c r="D5" s="10">
        <f>SUMIF(Table2[Item Name],Table3[[#This Row],[Item Name]],Table2[Quantity])</f>
        <v>15</v>
      </c>
      <c r="E5" s="15">
        <f>Table3[[#This Row],[Purchase Qty]]-Table3[[#This Row],[Sale Qty]]</f>
        <v>55</v>
      </c>
      <c r="F5" s="6"/>
      <c r="H5" t="str">
        <f>"&lt;&gt;"</f>
        <v>&lt;&gt;</v>
      </c>
    </row>
    <row r="6" spans="2:8" ht="16.5" x14ac:dyDescent="0.3">
      <c r="B6" s="9" t="s">
        <v>17</v>
      </c>
      <c r="C6" s="11">
        <f>SUMIF(Table1[Item Name],Table3[[#This Row],[Item Name]],Table1[Quantity])</f>
        <v>65</v>
      </c>
      <c r="D6" s="11">
        <f>SUMIF(Table2[Item Name],Table3[[#This Row],[Item Name]],Table2[Quantity])</f>
        <v>500</v>
      </c>
      <c r="E6" s="16">
        <f>Table3[[#This Row],[Purchase Qty]]-Table3[[#This Row],[Sale Qty]]</f>
        <v>-435</v>
      </c>
    </row>
    <row r="7" spans="2:8" ht="16.5" x14ac:dyDescent="0.3">
      <c r="B7" s="9" t="s">
        <v>14</v>
      </c>
      <c r="C7" s="11">
        <f>SUMIF(Table1[Item Name],Table3[[#This Row],[Item Name]],Table1[Quantity])</f>
        <v>70</v>
      </c>
      <c r="D7" s="11">
        <f>SUMIF(Table2[Item Name],Table3[[#This Row],[Item Name]],Table2[Quantity])</f>
        <v>0</v>
      </c>
      <c r="E7" s="16">
        <f>Table3[[#This Row],[Purchase Qty]]-Table3[[#This Row],[Sale Qty]]</f>
        <v>70</v>
      </c>
    </row>
    <row r="8" spans="2:8" ht="16.5" x14ac:dyDescent="0.3">
      <c r="B8" s="9" t="s">
        <v>19</v>
      </c>
      <c r="C8" s="11">
        <f>SUMIF(Table1[Item Name],Table3[[#This Row],[Item Name]],Table1[Quantity])</f>
        <v>100</v>
      </c>
      <c r="D8" s="11">
        <f>SUMIF(Table2[Item Name],Table3[[#This Row],[Item Name]],Table2[Quantity])</f>
        <v>0</v>
      </c>
      <c r="E8" s="16">
        <f>Table3[[#This Row],[Purchase Qty]]-Table3[[#This Row],[Sale Qty]]</f>
        <v>100</v>
      </c>
    </row>
    <row r="9" spans="2:8" ht="16.5" x14ac:dyDescent="0.3">
      <c r="B9" s="9" t="s">
        <v>13</v>
      </c>
      <c r="C9" s="11">
        <f>SUMIF(Table1[Item Name],Table3[[#This Row],[Item Name]],Table1[Quantity])</f>
        <v>50</v>
      </c>
      <c r="D9" s="11">
        <f>SUMIF(Table2[Item Name],Table3[[#This Row],[Item Name]],Table2[Quantity])</f>
        <v>0</v>
      </c>
      <c r="E9" s="16">
        <f>Table3[[#This Row],[Purchase Qty]]-Table3[[#This Row],[Sale Qty]]</f>
        <v>50</v>
      </c>
    </row>
    <row r="10" spans="2:8" ht="16.5" x14ac:dyDescent="0.3">
      <c r="B10" s="9" t="s">
        <v>15</v>
      </c>
      <c r="C10" s="11">
        <f>SUMIF(Table1[Item Name],Table3[[#This Row],[Item Name]],Table1[Quantity])</f>
        <v>15</v>
      </c>
      <c r="D10" s="11">
        <f>SUMIF(Table2[Item Name],Table3[[#This Row],[Item Name]],Table2[Quantity])</f>
        <v>0</v>
      </c>
      <c r="E10" s="16">
        <f>Table3[[#This Row],[Purchase Qty]]-Table3[[#This Row],[Sale Qty]]</f>
        <v>15</v>
      </c>
    </row>
    <row r="11" spans="2:8" ht="16.5" x14ac:dyDescent="0.3">
      <c r="B11" s="9" t="s">
        <v>11</v>
      </c>
      <c r="C11" s="11">
        <f>SUMIF(Table1[Item Name],Table3[[#This Row],[Item Name]],Table1[Quantity])</f>
        <v>12</v>
      </c>
      <c r="D11" s="11">
        <f>SUMIF(Table2[Item Name],Table3[[#This Row],[Item Name]],Table2[Quantity])</f>
        <v>0</v>
      </c>
      <c r="E11" s="16">
        <f>Table3[[#This Row],[Purchase Qty]]-Table3[[#This Row],[Sale Qty]]</f>
        <v>12</v>
      </c>
    </row>
    <row r="12" spans="2:8" ht="16.5" x14ac:dyDescent="0.3">
      <c r="B12" s="13"/>
      <c r="C12" s="11">
        <f>SUMIF(Table1[Item Name],Table3[[#This Row],[Item Name]],Table1[Quantity])</f>
        <v>0</v>
      </c>
      <c r="D12" s="11">
        <f>SUMIF(Table2[Item Name],Table3[[#This Row],[Item Name]],Table2[Quantity])</f>
        <v>0</v>
      </c>
      <c r="E12" s="16">
        <f>Table3[[#This Row],[Purchase Qty]]-Table3[[#This Row],[Sale Qty]]</f>
        <v>0</v>
      </c>
    </row>
    <row r="13" spans="2:8" ht="16.5" x14ac:dyDescent="0.3">
      <c r="B13" s="13"/>
      <c r="C13" s="11">
        <f>SUMIF(Table1[Item Name],Table3[[#This Row],[Item Name]],Table1[Quantity])</f>
        <v>0</v>
      </c>
      <c r="D13" s="11">
        <f>SUMIF(Table2[Item Name],Table3[[#This Row],[Item Name]],Table2[Quantity])</f>
        <v>0</v>
      </c>
      <c r="E13" s="16">
        <f>Table3[[#This Row],[Purchase Qty]]-Table3[[#This Row],[Sale Qty]]</f>
        <v>0</v>
      </c>
    </row>
    <row r="14" spans="2:8" ht="16.5" x14ac:dyDescent="0.3">
      <c r="B14" s="13"/>
      <c r="C14" s="11">
        <f>SUMIF(Table1[Item Name],Table3[[#This Row],[Item Name]],Table1[Quantity])</f>
        <v>0</v>
      </c>
      <c r="D14" s="11">
        <f>SUMIF(Table2[Item Name],Table3[[#This Row],[Item Name]],Table2[Quantity])</f>
        <v>0</v>
      </c>
      <c r="E14" s="16">
        <f>Table3[[#This Row],[Purchase Qty]]-Table3[[#This Row],[Sale Qty]]</f>
        <v>0</v>
      </c>
    </row>
    <row r="15" spans="2:8" ht="16.5" x14ac:dyDescent="0.3">
      <c r="B15" s="14"/>
      <c r="C15" s="12">
        <f>SUMIF(Table1[Item Name],Table3[[#This Row],[Item Name]],Table1[Quantity])</f>
        <v>0</v>
      </c>
      <c r="D15" s="12">
        <f>SUMIF(Table2[Item Name],Table3[[#This Row],[Item Name]],Table2[Quantity])</f>
        <v>0</v>
      </c>
      <c r="E15" s="17">
        <f>Table3[[#This Row],[Purchase Qty]]-Table3[[#This Row],[Sale Qty]]</f>
        <v>0</v>
      </c>
    </row>
  </sheetData>
  <mergeCells count="1">
    <mergeCell ref="B1:E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Home</vt:lpstr>
      <vt:lpstr>Purchase</vt:lpstr>
      <vt:lpstr>Sales</vt:lpstr>
      <vt:lpstr>Stock</vt:lpstr>
      <vt:lpstr>Stock!Criteria</vt:lpstr>
      <vt:lpstr>Stock!Extract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Quazi Hasnat Irfan</dc:creator>
  <cp:lastModifiedBy>Quazi Hasnat Irfan</cp:lastModifiedBy>
  <dcterms:created xsi:type="dcterms:W3CDTF">2024-05-27T04:38:33Z</dcterms:created>
  <dcterms:modified xsi:type="dcterms:W3CDTF">2024-05-29T04:06:12Z</dcterms:modified>
</cp:coreProperties>
</file>